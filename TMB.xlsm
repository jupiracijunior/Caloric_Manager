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f9e800985f1a24a3/Documentos/_Projetos/Excel/VBA/Academia/"/>
    </mc:Choice>
  </mc:AlternateContent>
  <xr:revisionPtr revIDLastSave="1942" documentId="13_ncr:1_{FC81F79A-BBFB-489E-9BD6-93F965FCFFCE}" xr6:coauthVersionLast="47" xr6:coauthVersionMax="47" xr10:uidLastSave="{1B9C694D-140B-43F6-B216-01328C0D56CD}"/>
  <bookViews>
    <workbookView xWindow="-108" yWindow="-108" windowWidth="23256" windowHeight="12456" xr2:uid="{00000000-000D-0000-FFFF-FFFF00000000}"/>
  </bookViews>
  <sheets>
    <sheet name="Dashboard" sheetId="2" r:id="rId1"/>
    <sheet name="Registros" sheetId="1" r:id="rId2"/>
    <sheet name="Pedro" sheetId="13" r:id="rId3"/>
    <sheet name="Gustavo" sheetId="14" r:id="rId4"/>
    <sheet name="Fernando" sheetId="1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<sst xmlns="http://schemas.openxmlformats.org/spreadsheetml/2006/main" count="76" uniqueCount="22">
  <si>
    <t>Nome</t>
  </si>
  <si>
    <t>Gasto Energético Total</t>
  </si>
  <si>
    <t>Taxa Metabólica Basal</t>
  </si>
  <si>
    <t>Idade</t>
  </si>
  <si>
    <t>Peso (kg)</t>
  </si>
  <si>
    <t xml:space="preserve">Altura (cm) </t>
  </si>
  <si>
    <t>Gênero</t>
  </si>
  <si>
    <t>Homem</t>
  </si>
  <si>
    <t>Nível de Atividade</t>
  </si>
  <si>
    <t>Moderadamente ativo</t>
  </si>
  <si>
    <t>Data</t>
  </si>
  <si>
    <t>Hora</t>
  </si>
  <si>
    <t>30/09/2024</t>
  </si>
  <si>
    <t>Pedro</t>
  </si>
  <si>
    <t>Voltar</t>
  </si>
  <si>
    <t>Altamente ativo</t>
  </si>
  <si>
    <t>Sedentário</t>
  </si>
  <si>
    <t>Email</t>
  </si>
  <si>
    <t>jupiraci72@gmail.com</t>
  </si>
  <si>
    <t>Gustavo</t>
  </si>
  <si>
    <t>Fernando</t>
  </si>
  <si>
    <t>Altura (cm)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</si>
</sst>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/>
    </xf>
    <xf numFmtId="0" fontId="2" fillId="0" borderId="0" xfId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21" fontId="0" fillId="0" borderId="1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3" fillId="0" borderId="1" xfId="1" applyFont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Pedro!$H$1</c:f>
              <c:strCache>
                <c:ptCount val="1"/>
                <c:pt idx="0">
                  <c:v>Gasto Energético Total</c:v>
                </c:pt>
              </c:strCache>
            </c:strRef>
          </c:tx>
          <c:invertIfNegative val="0"/>
          <c:val>
            <c:numRef>
              <c:f>Pedro!$H$2:$H$5</c:f>
              <c:numCache>
                <c:formatCode>General</c:formatCode>
                <c:ptCount val="4"/>
                <c:pt idx="0">
                  <c:v>2843.1120000000001</c:v>
                </c:pt>
                <c:pt idx="1">
                  <c:v>3656.241</c:v>
                </c:pt>
                <c:pt idx="2">
                  <c:v>3100.0929999999998</c:v>
                </c:pt>
                <c:pt idx="3">
                  <c:v>2899.8330000000001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AA-435C-A542-06A2A7124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327119"/>
        <c:axId val="77314159"/>
      </c:barChart>
      <c:catAx>
        <c:axId val="77327119"/>
        <c:scaling>
          <c:orientation val="minMax"/>
        </c:scaling>
        <c:delete val="0"/>
        <c:axPos val="b"/>
        <c:majorTickMark val="out"/>
        <c:minorTickMark val="none"/>
        <c:tickLblPos val="nextTo"/>
        <c:crossAx val="77314159"/>
        <c:crosses val="autoZero"/>
        <c:auto val="1"/>
        <c:lblAlgn val="ctr"/>
        <c:lblOffset val="100"/>
        <c:noMultiLvlLbl val="0"/>
      </c:catAx>
      <c:valAx>
        <c:axId val="773141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3271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Gustavo!$H$1</c:f>
              <c:strCache>
                <c:ptCount val="1"/>
                <c:pt idx="0">
                  <c:v>Gasto Energético Total</c:v>
                </c:pt>
              </c:strCache>
            </c:strRef>
          </c:tx>
          <c:invertIfNegative val="0"/>
          <c:val>
            <c:numRef>
              <c:f>Gustavo!$H$2:$H$5</c:f>
              <c:numCache>
                <c:formatCode>General</c:formatCode>
                <c:ptCount val="4"/>
                <c:pt idx="0">
                  <c:v>2843.1120000000001</c:v>
                </c:pt>
                <c:pt idx="1">
                  <c:v>3656.241</c:v>
                </c:pt>
                <c:pt idx="2">
                  <c:v>3100.0929999999998</c:v>
                </c:pt>
                <c:pt idx="3">
                  <c:v>2899.8330000000001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DB-4433-BB04-81E86E197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312239"/>
        <c:axId val="77313199"/>
      </c:barChart>
      <c:catAx>
        <c:axId val="77312239"/>
        <c:scaling>
          <c:orientation val="minMax"/>
        </c:scaling>
        <c:delete val="0"/>
        <c:axPos val="b"/>
        <c:majorTickMark val="out"/>
        <c:minorTickMark val="none"/>
        <c:tickLblPos val="nextTo"/>
        <c:crossAx val="77313199"/>
        <c:crosses val="autoZero"/>
        <c:auto val="1"/>
        <c:lblAlgn val="ctr"/>
        <c:lblOffset val="100"/>
        <c:noMultiLvlLbl val="0"/>
      </c:catAx>
      <c:valAx>
        <c:axId val="773131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3122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Fernando!$H$1</c:f>
              <c:strCache>
                <c:ptCount val="1"/>
                <c:pt idx="0">
                  <c:v>Gasto Energético Total</c:v>
                </c:pt>
              </c:strCache>
            </c:strRef>
          </c:tx>
          <c:invertIfNegative val="0"/>
          <c:val>
            <c:numRef>
              <c:f>Fernando!$H$2:$H$5</c:f>
              <c:numCache>
                <c:formatCode>General</c:formatCode>
                <c:ptCount val="4"/>
                <c:pt idx="0">
                  <c:v>3095.4435000000003</c:v>
                </c:pt>
                <c:pt idx="1">
                  <c:v>2796.2930000000001</c:v>
                </c:pt>
                <c:pt idx="2">
                  <c:v>2796.2930000000001</c:v>
                </c:pt>
                <c:pt idx="3">
                  <c:v>2796.2930000000001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2B-4F2F-9839-952CDBA3A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6513887"/>
        <c:axId val="816518687"/>
      </c:barChart>
      <c:catAx>
        <c:axId val="816513887"/>
        <c:scaling>
          <c:orientation val="minMax"/>
        </c:scaling>
        <c:delete val="0"/>
        <c:axPos val="b"/>
        <c:majorTickMark val="out"/>
        <c:minorTickMark val="none"/>
        <c:tickLblPos val="nextTo"/>
        <c:crossAx val="816518687"/>
        <c:crosses val="autoZero"/>
        <c:auto val="1"/>
        <c:lblAlgn val="ctr"/>
        <c:lblOffset val="100"/>
        <c:noMultiLvlLbl val="0"/>
      </c:catAx>
      <c:valAx>
        <c:axId val="8165186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65138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480060</xdr:colOff>
          <xdr:row>0</xdr:row>
          <xdr:rowOff>175260</xdr:rowOff>
        </xdr:from>
        <xdr:to>
          <xdr:col>2</xdr:col>
          <xdr:colOff>1051560</xdr:colOff>
          <xdr:row>2</xdr:row>
          <xdr:rowOff>129540</xdr:rowOff>
        </xdr:to>
        <xdr:sp macro="" textlink="">
          <xdr:nvSpPr>
            <xdr:cNvPr id="2050" name="cbNam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1404405</xdr:colOff>
      <xdr:row>0</xdr:row>
      <xdr:rowOff>0</xdr:rowOff>
    </xdr:from>
    <xdr:to>
      <xdr:col>10</xdr:col>
      <xdr:colOff>586454</xdr:colOff>
      <xdr:row>17</xdr:row>
      <xdr:rowOff>66040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F9EB4B1-3D5C-3DFD-CBFF-9DF4E16807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599476</xdr:colOff>
      <xdr:row>0</xdr:row>
      <xdr:rowOff>0</xdr:rowOff>
    </xdr:from>
    <xdr:to>
      <xdr:col>21</xdr:col>
      <xdr:colOff>243018</xdr:colOff>
      <xdr:row>17</xdr:row>
      <xdr:rowOff>66040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0644CD3-DE70-6C4F-A3EC-2647DD3D47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1404405</xdr:colOff>
      <xdr:row>17</xdr:row>
      <xdr:rowOff>68902</xdr:rowOff>
    </xdr:from>
    <xdr:to>
      <xdr:col>10</xdr:col>
      <xdr:colOff>586454</xdr:colOff>
      <xdr:row>34</xdr:row>
      <xdr:rowOff>134942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77F825E-6FE7-73D6-42A8-1A5669EE26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457200</xdr:colOff>
          <xdr:row>0</xdr:row>
          <xdr:rowOff>160020</xdr:rowOff>
        </xdr:from>
        <xdr:to>
          <xdr:col>19</xdr:col>
          <xdr:colOff>144780</xdr:colOff>
          <xdr:row>3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4</xdr:row>
          <xdr:rowOff>152400</xdr:rowOff>
        </xdr:from>
        <xdr:to>
          <xdr:col>18</xdr:col>
          <xdr:colOff>579120</xdr:colOff>
          <xdr:row>7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upiraci72@gmail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EEBBA-81A5-4996-A0D6-8F1D9989D18F}">
  <sheetPr codeName="Planilha2"/>
  <dimension ref="A1:C1"/>
  <sheetViews>
    <sheetView tabSelected="1" zoomScale="71" zoomScaleNormal="71" workbookViewId="0">
      <pane xSplit="3" topLeftCell="D1" activePane="topRight" state="frozen"/>
      <selection pane="topRight" activeCell="D1" sqref="D1:XFD1048576"/>
    </sheetView>
  </sheetViews>
  <sheetFormatPr defaultRowHeight="14.4" x14ac:dyDescent="0.3"/>
  <cols>
    <col min="1" max="2" width="12.109375" customWidth="1"/>
    <col min="3" max="3" width="20.6640625" customWidth="1"/>
    <col min="4" max="4" width="16.6640625" style="7" bestFit="1" customWidth="1"/>
    <col min="5" max="5" width="18.5546875" style="7" bestFit="1" customWidth="1"/>
    <col min="6" max="6" width="10" style="7" bestFit="1" customWidth="1"/>
    <col min="7" max="7" width="12" style="7" bestFit="1" customWidth="1"/>
    <col min="8" max="16384" width="8.88671875" style="7"/>
  </cols>
  <sheetData/>
  <dataConsolidate/>
  <mergeCells count="1">
    <mergeCell ref="D1:XFD1048576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50" r:id="rId3" name="cbNames">
          <controlPr defaultSize="0" autoLine="0" autoPict="0" listFillRange="Registros!A2:A4" r:id="rId4">
            <anchor moveWithCells="1">
              <from>
                <xdr:col>0</xdr:col>
                <xdr:colOff>480060</xdr:colOff>
                <xdr:row>0</xdr:row>
                <xdr:rowOff>175260</xdr:rowOff>
              </from>
              <to>
                <xdr:col>2</xdr:col>
                <xdr:colOff>1051560</xdr:colOff>
                <xdr:row>2</xdr:row>
                <xdr:rowOff>129540</xdr:rowOff>
              </to>
            </anchor>
          </controlPr>
        </control>
      </mc:Choice>
      <mc:Fallback>
        <control shapeId="2050" r:id="rId3" name="cbNam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4"/>
  <sheetViews>
    <sheetView workbookViewId="0">
      <selection activeCell="A3" sqref="A3"/>
    </sheetView>
  </sheetViews>
  <sheetFormatPr defaultRowHeight="14.4" x14ac:dyDescent="0.3"/>
  <cols>
    <col min="1" max="1" width="9.88671875" bestFit="1" customWidth="1"/>
    <col min="2" max="2" width="21.88671875" bestFit="1" customWidth="1"/>
    <col min="3" max="3" width="9.21875" customWidth="1"/>
  </cols>
  <sheetData>
    <row r="1" spans="1:2" ht="15.6" x14ac:dyDescent="0.3">
      <c r="A1" s="14" t="s">
        <v>0</v>
      </c>
      <c r="B1" s="14" t="s">
        <v>17</v>
      </c>
    </row>
    <row r="2" spans="1:2" ht="15.6" x14ac:dyDescent="0.3">
      <c r="A2" s="15" t="s">
        <v>13</v>
      </c>
      <c r="B2" s="16" t="s">
        <v>18</v>
      </c>
    </row>
    <row r="3" spans="1:2" ht="15.6" x14ac:dyDescent="0.3">
      <c r="A3" s="15" t="s">
        <v>19</v>
      </c>
      <c r="B3" s="2"/>
    </row>
    <row r="4" spans="1:2" ht="15.6" x14ac:dyDescent="0.3">
      <c r="A4" s="17" t="s">
        <v>20</v>
      </c>
      <c r="B4" s="2"/>
    </row>
  </sheetData>
  <hyperlinks>
    <hyperlink ref="A2" location="Pedro!A1" display="Pedro" xr:uid="{847910F4-8228-4ABE-BBFA-7FFBCCFEA5B7}"/>
    <hyperlink ref="B2" r:id="rId1" xr:uid="{54109418-5661-4561-982B-5ECF127DFE03}"/>
    <hyperlink ref="A3" location="Gustavo!A1" display="Gustavo" xr:uid="{6DC7D9FE-43AA-4D8F-B45D-C408C432589B}"/>
    <hyperlink ref="A4" location="Fernando!A1" display="Fernando" xr:uid="{501B3404-03A8-4006-AF0E-1A8AD46E33A6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tão1_Clique">
                <anchor>
                  <from>
                    <xdr:col>15</xdr:col>
                    <xdr:colOff>457200</xdr:colOff>
                    <xdr:row>0</xdr:row>
                    <xdr:rowOff>160020</xdr:rowOff>
                  </from>
                  <to>
                    <xdr:col>19</xdr:col>
                    <xdr:colOff>144780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Botão2_Clique">
                <anchor moveWithCells="1">
                  <from>
                    <xdr:col>15</xdr:col>
                    <xdr:colOff>304800</xdr:colOff>
                    <xdr:row>4</xdr:row>
                    <xdr:rowOff>152400</xdr:rowOff>
                  </from>
                  <to>
                    <xdr:col>18</xdr:col>
                    <xdr:colOff>579120</xdr:colOff>
                    <xdr:row>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2CDDB-8786-44F9-A4C9-6C214932DBD5}">
  <sheetPr codeName="Planilha13"/>
  <dimension ref="A1:K5"/>
  <sheetViews>
    <sheetView workbookViewId="0">
      <selection activeCell="H5" sqref="H5"/>
    </sheetView>
  </sheetViews>
  <sheetFormatPr defaultRowHeight="14.4" x14ac:dyDescent="0.3"/>
  <cols>
    <col min="1" max="1" width="6" bestFit="1" customWidth="1"/>
    <col min="2" max="2" width="8.21875" bestFit="1" customWidth="1"/>
    <col min="3" max="3" width="10.33203125" bestFit="1" customWidth="1"/>
    <col min="4" max="4" width="5.5546875" bestFit="1" customWidth="1"/>
    <col min="5" max="5" width="7.44140625" bestFit="1" customWidth="1"/>
    <col min="6" max="6" width="19.44140625" bestFit="1" customWidth="1"/>
    <col min="7" max="7" width="19.5546875" bestFit="1" customWidth="1"/>
    <col min="8" max="8" width="19.77734375" bestFit="1" customWidth="1"/>
    <col min="9" max="9" width="10.5546875" bestFit="1" customWidth="1"/>
    <col min="10" max="10" width="8.109375" bestFit="1" customWidth="1"/>
  </cols>
  <sheetData>
    <row r="1" spans="1:11" x14ac:dyDescent="0.3">
      <c r="A1" s="1" t="s">
        <v>0</v>
      </c>
      <c r="B1" s="1" t="s">
        <v>4</v>
      </c>
      <c r="C1" s="1" t="s">
        <v>5</v>
      </c>
      <c r="D1" s="1" t="s">
        <v>3</v>
      </c>
      <c r="E1" s="1" t="s">
        <v>6</v>
      </c>
      <c r="F1" s="1" t="s">
        <v>8</v>
      </c>
      <c r="G1" s="1" t="s">
        <v>2</v>
      </c>
      <c r="H1" s="1" t="s">
        <v>1</v>
      </c>
      <c r="I1" s="3" t="s">
        <v>10</v>
      </c>
      <c r="J1" s="3" t="s">
        <v>11</v>
      </c>
    </row>
    <row r="2" spans="1:11" x14ac:dyDescent="0.3">
      <c r="A2" s="2" t="s">
        <v>13</v>
      </c>
      <c r="B2" s="2">
        <v>120</v>
      </c>
      <c r="C2" s="2">
        <v>158</v>
      </c>
      <c r="D2" s="2">
        <v>15</v>
      </c>
      <c r="E2" s="2" t="s">
        <v>7</v>
      </c>
      <c r="F2" s="2" t="s">
        <v>16</v>
      </c>
      <c r="G2" s="2">
        <v>2369.2600000000002</v>
      </c>
      <c r="H2" s="2">
        <v>2843.1120000000001</v>
      </c>
      <c r="I2" s="2" t="s">
        <v>12</v>
      </c>
      <c r="J2" s="4">
        <v>0.58197916666666671</v>
      </c>
      <c r="K2" s="5" t="s">
        <v>14</v>
      </c>
    </row>
    <row r="3" spans="1:11" x14ac:dyDescent="0.3">
      <c r="A3" s="2" t="s">
        <v>13</v>
      </c>
      <c r="B3" s="2">
        <v>100</v>
      </c>
      <c r="C3" s="2">
        <v>163</v>
      </c>
      <c r="D3" s="2">
        <v>16</v>
      </c>
      <c r="E3" s="2" t="s">
        <v>7</v>
      </c>
      <c r="F3" s="2" t="s">
        <v>15</v>
      </c>
      <c r="G3" s="2">
        <v>2119.56</v>
      </c>
      <c r="H3" s="2">
        <v>3656.241</v>
      </c>
      <c r="I3" s="6">
        <v>45930</v>
      </c>
      <c r="J3" s="4">
        <v>0.6058217592592593</v>
      </c>
    </row>
    <row r="4" spans="1:11" x14ac:dyDescent="0.3">
      <c r="A4" s="2" t="s">
        <v>13</v>
      </c>
      <c r="B4" s="2">
        <v>89</v>
      </c>
      <c r="C4" s="2">
        <v>170</v>
      </c>
      <c r="D4" s="2">
        <v>17</v>
      </c>
      <c r="E4" s="2" t="s">
        <v>7</v>
      </c>
      <c r="F4" s="2" t="s">
        <v>9</v>
      </c>
      <c r="G4" s="2">
        <v>2000.06</v>
      </c>
      <c r="H4" s="2">
        <v>3100.0929999999998</v>
      </c>
      <c r="I4" s="6">
        <v>46295</v>
      </c>
      <c r="J4" s="4">
        <v>0.60585648148148152</v>
      </c>
    </row>
    <row r="5" spans="1:11" x14ac:dyDescent="0.3">
      <c r="A5" s="2" t="s">
        <v>13</v>
      </c>
      <c r="B5" s="2">
        <v>79</v>
      </c>
      <c r="C5" s="2">
        <v>171</v>
      </c>
      <c r="D5" s="2">
        <v>17</v>
      </c>
      <c r="E5" s="2" t="s">
        <v>7</v>
      </c>
      <c r="F5" s="2" t="s">
        <v>9</v>
      </c>
      <c r="G5" s="2">
        <v>1870.86</v>
      </c>
      <c r="H5" s="2">
        <v>2899.8330000000001</v>
      </c>
      <c r="I5" s="6">
        <v>46372</v>
      </c>
      <c r="J5" s="4">
        <v>0.60893518518518519</v>
      </c>
    </row>
  </sheetData>
  <hyperlinks>
    <hyperlink ref="K2" location="Registros!A1" display="Voltar" xr:uid="{B24487A6-F731-49B6-9304-B1B5A334329C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7FA1C-FC4A-4DCF-8EE1-419BDBA0F929}">
  <sheetPr codeName="Planilha3"/>
  <dimension ref="A1:J5"/>
  <sheetViews>
    <sheetView workbookViewId="0"/>
  </sheetViews>
  <sheetFormatPr defaultRowHeight="14.4" x14ac:dyDescent="0.3"/>
  <cols>
    <col min="6" max="6" width="19.44140625" bestFit="1" customWidth="1"/>
    <col min="7" max="7" width="19.5546875" bestFit="1" customWidth="1"/>
    <col min="8" max="8" width="19.77734375" bestFit="1" customWidth="1"/>
    <col min="9" max="9" width="10.5546875" bestFit="1" customWidth="1"/>
  </cols>
  <sheetData>
    <row r="1" spans="1:10" x14ac:dyDescent="0.3">
      <c r="A1" s="1" t="s">
        <v>0</v>
      </c>
      <c r="B1" s="1" t="s">
        <v>4</v>
      </c>
      <c r="C1" s="1" t="s">
        <v>5</v>
      </c>
      <c r="D1" s="1" t="s">
        <v>3</v>
      </c>
      <c r="E1" s="1" t="s">
        <v>6</v>
      </c>
      <c r="F1" s="1" t="s">
        <v>8</v>
      </c>
      <c r="G1" s="1" t="s">
        <v>2</v>
      </c>
      <c r="H1" s="1" t="s">
        <v>1</v>
      </c>
      <c r="I1" s="3" t="s">
        <v>10</v>
      </c>
      <c r="J1" s="3" t="s">
        <v>11</v>
      </c>
    </row>
    <row r="2" spans="1:10" x14ac:dyDescent="0.3">
      <c r="A2" s="2" t="s">
        <v>19</v>
      </c>
      <c r="B2" s="2">
        <v>120</v>
      </c>
      <c r="C2" s="2">
        <v>158</v>
      </c>
      <c r="D2" s="2">
        <v>15</v>
      </c>
      <c r="E2" s="2" t="s">
        <v>7</v>
      </c>
      <c r="F2" s="2" t="s">
        <v>16</v>
      </c>
      <c r="G2" s="2">
        <v>2369.2600000000002</v>
      </c>
      <c r="H2" s="2">
        <v>2843.1120000000001</v>
      </c>
      <c r="I2" s="2" t="s">
        <v>12</v>
      </c>
      <c r="J2" s="4">
        <v>0.58197916666666671</v>
      </c>
    </row>
    <row r="3" spans="1:10" x14ac:dyDescent="0.3">
      <c r="A3" s="2" t="s">
        <v>19</v>
      </c>
      <c r="B3" s="2">
        <v>100</v>
      </c>
      <c r="C3" s="2">
        <v>163</v>
      </c>
      <c r="D3" s="2">
        <v>16</v>
      </c>
      <c r="E3" s="2" t="s">
        <v>7</v>
      </c>
      <c r="F3" s="2" t="s">
        <v>15</v>
      </c>
      <c r="G3" s="2">
        <v>2119.56</v>
      </c>
      <c r="H3" s="2">
        <v>3656.241</v>
      </c>
      <c r="I3" s="6">
        <v>45930</v>
      </c>
      <c r="J3" s="4">
        <v>0.6058217592592593</v>
      </c>
    </row>
    <row r="4" spans="1:10" x14ac:dyDescent="0.3">
      <c r="A4" s="2" t="s">
        <v>19</v>
      </c>
      <c r="B4" s="2">
        <v>89</v>
      </c>
      <c r="C4" s="2">
        <v>170</v>
      </c>
      <c r="D4" s="2">
        <v>17</v>
      </c>
      <c r="E4" s="2" t="s">
        <v>7</v>
      </c>
      <c r="F4" s="2" t="s">
        <v>9</v>
      </c>
      <c r="G4" s="2">
        <v>2000.06</v>
      </c>
      <c r="H4" s="2">
        <v>3100.0929999999998</v>
      </c>
      <c r="I4" s="6">
        <v>46295</v>
      </c>
      <c r="J4" s="4">
        <v>0.60585648148148152</v>
      </c>
    </row>
    <row r="5" spans="1:10" x14ac:dyDescent="0.3">
      <c r="A5" s="2" t="s">
        <v>19</v>
      </c>
      <c r="B5" s="2">
        <v>79</v>
      </c>
      <c r="C5" s="2">
        <v>171</v>
      </c>
      <c r="D5" s="2">
        <v>17</v>
      </c>
      <c r="E5" s="2" t="s">
        <v>7</v>
      </c>
      <c r="F5" s="2" t="s">
        <v>9</v>
      </c>
      <c r="G5" s="2">
        <v>1870.86</v>
      </c>
      <c r="H5" s="2">
        <v>2899.8330000000001</v>
      </c>
      <c r="I5" s="6">
        <v>46372</v>
      </c>
      <c r="J5" s="4">
        <v>0.60893518518518519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5D592-6B67-4E5F-927D-856E2ED9E65A}">
  <sheetPr codeName="Planilha4"/>
  <dimension ref="A1:K5"/>
  <sheetViews>
    <sheetView workbookViewId="0"/>
  </sheetViews>
  <sheetFormatPr defaultRowHeight="14.4" x14ac:dyDescent="0.3"/>
  <cols>
    <col min="1" max="1" width="8.6640625" bestFit="1" customWidth="1"/>
    <col min="2" max="2" width="8.21875" bestFit="1" customWidth="1"/>
    <col min="3" max="3" width="9.88671875" bestFit="1" customWidth="1"/>
    <col min="4" max="4" width="5.5546875" bestFit="1" customWidth="1"/>
    <col min="5" max="5" width="7.44140625" bestFit="1" customWidth="1"/>
    <col min="6" max="6" width="19.44140625" bestFit="1" customWidth="1"/>
    <col min="7" max="7" width="19.5546875" bestFit="1" customWidth="1"/>
    <col min="8" max="8" width="19.77734375" bestFit="1" customWidth="1"/>
    <col min="9" max="9" width="10.5546875" bestFit="1" customWidth="1"/>
    <col min="10" max="10" width="8.109375" bestFit="1" customWidth="1"/>
  </cols>
  <sheetData>
    <row r="1" spans="1:11" s="11" customFormat="1" x14ac:dyDescent="0.3">
      <c r="A1" s="1" t="s">
        <v>0</v>
      </c>
      <c r="B1" s="1" t="s">
        <v>4</v>
      </c>
      <c r="C1" s="1" t="s">
        <v>21</v>
      </c>
      <c r="D1" s="1" t="s">
        <v>3</v>
      </c>
      <c r="E1" s="1" t="s">
        <v>6</v>
      </c>
      <c r="F1" s="1" t="s">
        <v>8</v>
      </c>
      <c r="G1" s="1" t="s">
        <v>2</v>
      </c>
      <c r="H1" s="1" t="s">
        <v>1</v>
      </c>
      <c r="I1" s="13" t="s">
        <v>10</v>
      </c>
      <c r="J1" s="13" t="s">
        <v>11</v>
      </c>
    </row>
    <row r="2" spans="1:11" s="11" customFormat="1" x14ac:dyDescent="0.3">
      <c r="A2" s="8" t="s">
        <v>20</v>
      </c>
      <c r="B2" s="8">
        <v>78</v>
      </c>
      <c r="C2" s="8">
        <v>23</v>
      </c>
      <c r="D2" s="8">
        <v>165</v>
      </c>
      <c r="E2" s="8" t="s">
        <v>7</v>
      </c>
      <c r="F2" s="8" t="s">
        <v>15</v>
      </c>
      <c r="G2" s="8">
        <v>1794.46</v>
      </c>
      <c r="H2" s="8">
        <v>3095.4435000000003</v>
      </c>
      <c r="I2" s="9">
        <v>45392</v>
      </c>
      <c r="J2" s="10">
        <v>0.50472222222222218</v>
      </c>
      <c r="K2" s="12" t="s">
        <v>14</v>
      </c>
    </row>
    <row r="3" spans="1:11" x14ac:dyDescent="0.3">
      <c r="A3" s="2" t="s">
        <v>20</v>
      </c>
      <c r="B3" s="2">
        <v>78</v>
      </c>
      <c r="C3" s="2">
        <v>167</v>
      </c>
      <c r="D3" s="2">
        <v>23</v>
      </c>
      <c r="E3" s="2" t="s">
        <v>7</v>
      </c>
      <c r="F3" s="2" t="s">
        <v>9</v>
      </c>
      <c r="G3" s="2">
        <v>1804.06</v>
      </c>
      <c r="H3" s="2">
        <v>2796.2930000000001</v>
      </c>
      <c r="I3" s="6">
        <v>45392</v>
      </c>
      <c r="J3" s="4">
        <v>0.52178240740740744</v>
      </c>
    </row>
    <row r="4" spans="1:11" x14ac:dyDescent="0.3">
      <c r="A4" s="2" t="s">
        <v>20</v>
      </c>
      <c r="B4" s="2">
        <v>78</v>
      </c>
      <c r="C4" s="2">
        <v>167</v>
      </c>
      <c r="D4" s="2">
        <v>23</v>
      </c>
      <c r="E4" s="2" t="s">
        <v>7</v>
      </c>
      <c r="F4" s="2" t="s">
        <v>9</v>
      </c>
      <c r="G4" s="2">
        <v>1804.06</v>
      </c>
      <c r="H4" s="2">
        <v>2796.2930000000001</v>
      </c>
      <c r="I4" s="6">
        <v>45392</v>
      </c>
      <c r="J4" s="4">
        <v>0.5241203703703704</v>
      </c>
    </row>
    <row r="5" spans="1:11" x14ac:dyDescent="0.3">
      <c r="A5" s="2" t="s">
        <v>20</v>
      </c>
      <c r="B5" s="2">
        <v>78</v>
      </c>
      <c r="C5" s="2">
        <v>167</v>
      </c>
      <c r="D5" s="2">
        <v>23</v>
      </c>
      <c r="E5" s="2" t="s">
        <v>7</v>
      </c>
      <c r="F5" s="2" t="s">
        <v>9</v>
      </c>
      <c r="G5" s="2">
        <v>1804.06</v>
      </c>
      <c r="H5" s="2">
        <v>2796.2930000000001</v>
      </c>
      <c r="I5" s="6">
        <v>45392</v>
      </c>
      <c r="J5" s="4">
        <v>0.52733796296296298</v>
      </c>
    </row>
  </sheetData>
  <hyperlinks>
    <hyperlink ref="K2" location="Registros!A1" display="Voltar" xr:uid="{1FAD9BC7-5EC8-42C1-ADED-2E34E6BA8B51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Dashboard</vt:lpstr>
      <vt:lpstr>Registros</vt:lpstr>
      <vt:lpstr>Pedro</vt:lpstr>
      <vt:lpstr>Gustavo</vt:lpstr>
      <vt:lpstr>Fernando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Jupiraci Júnior</dc:creator>
  <cp:lastModifiedBy>Jupiraci Júnior</cp:lastModifiedBy>
  <dcterms:created xsi:type="dcterms:W3CDTF">2015-06-05T18:19:34Z</dcterms:created>
  <dcterms:modified xsi:type="dcterms:W3CDTF">2024-10-04T15:44:32Z</dcterms:modified>
</cp:coreProperties>
</file>