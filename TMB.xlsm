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upir\OneDrive\Documentos\_Projetos\Excel\VBA\Academia\"/>
    </mc:Choice>
  </mc:AlternateContent>
  <xr:revisionPtr revIDLastSave="0" documentId="13_ncr:1_{FC81F79A-BBFB-489E-9BD6-93F965FCFFC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MB" sheetId="1" r:id="rId1"/>
    <sheet name="Nutrient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E3" i="2" s="1"/>
  <c r="D5" i="2"/>
  <c r="G5" i="2" s="1"/>
  <c r="C5" i="2"/>
  <c r="F5" i="2" s="1"/>
  <c r="B5" i="2"/>
  <c r="E5" i="2" s="1"/>
  <c r="D4" i="2"/>
  <c r="G4" i="2" s="1"/>
  <c r="C4" i="2"/>
  <c r="F4" i="2" s="1"/>
  <c r="B4" i="2"/>
  <c r="E4" i="2" s="1"/>
  <c r="D3" i="2"/>
  <c r="G3" i="2" s="1"/>
  <c r="C3" i="2"/>
  <c r="F3" i="2" s="1"/>
</calcChain>
</file>

<file path=xl/sharedStrings.xml><?xml version="1.0" encoding="utf-8"?>
<sst xmlns="http://schemas.openxmlformats.org/spreadsheetml/2006/main" count="41" uniqueCount="28">
  <si>
    <t>Nome</t>
  </si>
  <si>
    <t>Pedro</t>
  </si>
  <si>
    <t>Jupiraci Júnior</t>
  </si>
  <si>
    <t>Gasto Energético Total</t>
  </si>
  <si>
    <t>Proteinas</t>
  </si>
  <si>
    <t>Carboidratos</t>
  </si>
  <si>
    <t>Gorduras</t>
  </si>
  <si>
    <t>Em Gramas</t>
  </si>
  <si>
    <t>Em Calorias</t>
  </si>
  <si>
    <t>Renato</t>
  </si>
  <si>
    <t>Taxa Metabólica Basal</t>
  </si>
  <si>
    <t>Idade</t>
  </si>
  <si>
    <t>Peso (kg)</t>
  </si>
  <si>
    <t xml:space="preserve">Altura (cm) </t>
  </si>
  <si>
    <t>Guilherme</t>
  </si>
  <si>
    <t>João</t>
  </si>
  <si>
    <t>Daniel</t>
  </si>
  <si>
    <t>Fernandez</t>
  </si>
  <si>
    <t>Fernando</t>
  </si>
  <si>
    <t>Gênero</t>
  </si>
  <si>
    <t>Homem</t>
  </si>
  <si>
    <t>Ferdinando De Nobrega</t>
  </si>
  <si>
    <t>Bruna</t>
  </si>
  <si>
    <t>Mulher</t>
  </si>
  <si>
    <t>Nível de Atividade</t>
  </si>
  <si>
    <t>Moderadamente ativo</t>
  </si>
  <si>
    <t>Altamente ativo</t>
  </si>
  <si>
    <t>Extremamente 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</si>
</sst>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5" borderId="0" xfId="0" applyFill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510540</xdr:colOff>
          <xdr:row>0</xdr:row>
          <xdr:rowOff>160020</xdr:rowOff>
        </xdr:from>
        <xdr:to>
          <xdr:col>12</xdr:col>
          <xdr:colOff>114300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8"/>
  <sheetViews>
    <sheetView tabSelected="1" workbookViewId="0">
      <selection activeCell="F2" sqref="F2:F8"/>
    </sheetView>
  </sheetViews>
  <sheetFormatPr defaultRowHeight="14.4" x14ac:dyDescent="0.3"/>
  <cols>
    <col min="1" max="1" width="20.44140625" bestFit="1" customWidth="1"/>
    <col min="2" max="2" width="8.21875" bestFit="1" customWidth="1"/>
    <col min="3" max="3" width="10.3320312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9.6640625" customWidth="1"/>
    <col min="11" max="11" width="9" bestFit="1" customWidth="1"/>
    <col min="12" max="12" width="9.21875" customWidth="1"/>
  </cols>
  <sheetData>
    <row r="1" spans="1:8" x14ac:dyDescent="0.3">
      <c r="A1" s="4" t="s">
        <v>0</v>
      </c>
      <c r="B1" s="4" t="s">
        <v>12</v>
      </c>
      <c r="C1" s="4" t="s">
        <v>13</v>
      </c>
      <c r="D1" s="4" t="s">
        <v>11</v>
      </c>
      <c r="E1" s="4" t="s">
        <v>19</v>
      </c>
      <c r="F1" s="4" t="s">
        <v>24</v>
      </c>
      <c r="G1" s="4" t="s">
        <v>10</v>
      </c>
      <c r="H1" s="4" t="s">
        <v>3</v>
      </c>
    </row>
    <row r="2" spans="1:8" x14ac:dyDescent="0.3">
      <c r="A2" s="5" t="s">
        <v>17</v>
      </c>
      <c r="B2" s="5">
        <v>78</v>
      </c>
      <c r="C2" s="5">
        <v>16</v>
      </c>
      <c r="D2" s="5">
        <v>168</v>
      </c>
      <c r="E2" s="5" t="s">
        <v>20</v>
      </c>
      <c r="F2" s="5" t="s">
        <v>27</v>
      </c>
      <c r="G2" s="5">
        <v>1848.76</v>
      </c>
      <c r="H2" s="5">
        <v>2865.578</v>
      </c>
    </row>
    <row r="3" spans="1:8" x14ac:dyDescent="0.3">
      <c r="A3" s="5" t="s">
        <v>18</v>
      </c>
      <c r="B3" s="5">
        <v>89</v>
      </c>
      <c r="C3" s="5">
        <v>168</v>
      </c>
      <c r="D3" s="5">
        <v>16</v>
      </c>
      <c r="E3" s="5" t="s">
        <v>20</v>
      </c>
      <c r="F3" s="5" t="s">
        <v>25</v>
      </c>
      <c r="G3" s="5">
        <v>2058.56</v>
      </c>
      <c r="H3" s="5">
        <v>2470.2719999999999</v>
      </c>
    </row>
    <row r="4" spans="1:8" x14ac:dyDescent="0.3">
      <c r="A4" s="5" t="s">
        <v>16</v>
      </c>
      <c r="B4" s="5">
        <v>85</v>
      </c>
      <c r="C4" s="5">
        <v>15</v>
      </c>
      <c r="D4" s="5">
        <v>181</v>
      </c>
      <c r="E4" s="5" t="s">
        <v>20</v>
      </c>
      <c r="F4" s="5" t="s">
        <v>25</v>
      </c>
      <c r="G4" s="5">
        <v>2010.66</v>
      </c>
      <c r="H4" s="5">
        <v>2412.7919999999999</v>
      </c>
    </row>
    <row r="5" spans="1:8" x14ac:dyDescent="0.3">
      <c r="A5" s="5" t="s">
        <v>14</v>
      </c>
      <c r="B5" s="5">
        <v>88</v>
      </c>
      <c r="C5" s="5">
        <v>16</v>
      </c>
      <c r="D5" s="5">
        <v>197</v>
      </c>
      <c r="E5" s="5" t="s">
        <v>20</v>
      </c>
      <c r="F5" s="5" t="s">
        <v>26</v>
      </c>
      <c r="G5" s="5">
        <v>2126.7600000000002</v>
      </c>
      <c r="H5" s="5">
        <v>2552.1120000000001</v>
      </c>
    </row>
    <row r="6" spans="1:8" x14ac:dyDescent="0.3">
      <c r="A6" s="5" t="s">
        <v>21</v>
      </c>
      <c r="B6" s="5">
        <v>78</v>
      </c>
      <c r="C6" s="5">
        <v>181</v>
      </c>
      <c r="D6" s="5">
        <v>17</v>
      </c>
      <c r="E6" s="5" t="s">
        <v>20</v>
      </c>
      <c r="F6" s="5" t="s">
        <v>25</v>
      </c>
      <c r="G6" s="5">
        <v>1905.46</v>
      </c>
      <c r="H6" s="5">
        <v>2953.4630000000002</v>
      </c>
    </row>
    <row r="7" spans="1:8" x14ac:dyDescent="0.3">
      <c r="A7" s="5" t="s">
        <v>22</v>
      </c>
      <c r="B7" s="5">
        <v>78</v>
      </c>
      <c r="C7" s="5">
        <v>165</v>
      </c>
      <c r="D7" s="5">
        <v>19</v>
      </c>
      <c r="E7" s="5" t="s">
        <v>23</v>
      </c>
      <c r="F7" s="5" t="s">
        <v>27</v>
      </c>
      <c r="G7" s="5">
        <v>1595</v>
      </c>
      <c r="H7" s="5">
        <v>2193.125</v>
      </c>
    </row>
    <row r="8" spans="1:8" x14ac:dyDescent="0.3">
      <c r="A8" s="5" t="s">
        <v>15</v>
      </c>
      <c r="B8" s="5">
        <v>78</v>
      </c>
      <c r="C8" s="5">
        <v>156</v>
      </c>
      <c r="D8" s="5">
        <v>17</v>
      </c>
      <c r="E8" s="5" t="s">
        <v>20</v>
      </c>
      <c r="F8" s="5" t="s">
        <v>25</v>
      </c>
      <c r="G8" s="5">
        <v>1785.46</v>
      </c>
      <c r="H8" s="5">
        <v>2767.4630000000002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>
                  <from>
                    <xdr:col>8</xdr:col>
                    <xdr:colOff>510540</xdr:colOff>
                    <xdr:row>0</xdr:row>
                    <xdr:rowOff>160020</xdr:rowOff>
                  </from>
                  <to>
                    <xdr:col>12</xdr:col>
                    <xdr:colOff>114300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EBBA-81A5-4996-A0D6-8F1D9989D18F}">
  <sheetPr codeName="Planilha2"/>
  <dimension ref="A1:G5"/>
  <sheetViews>
    <sheetView workbookViewId="0">
      <selection activeCell="F10" sqref="F10"/>
    </sheetView>
  </sheetViews>
  <sheetFormatPr defaultRowHeight="14.4" x14ac:dyDescent="0.3"/>
  <cols>
    <col min="1" max="1" width="12.44140625" bestFit="1" customWidth="1"/>
    <col min="2" max="2" width="11.5546875" bestFit="1" customWidth="1"/>
    <col min="3" max="4" width="10" bestFit="1" customWidth="1"/>
    <col min="5" max="7" width="12" bestFit="1" customWidth="1"/>
  </cols>
  <sheetData>
    <row r="1" spans="1:7" x14ac:dyDescent="0.3">
      <c r="A1" s="3"/>
      <c r="B1" s="6" t="s">
        <v>8</v>
      </c>
      <c r="C1" s="7"/>
      <c r="D1" s="8"/>
      <c r="E1" s="9" t="s">
        <v>7</v>
      </c>
      <c r="F1" s="10"/>
      <c r="G1" s="11"/>
    </row>
    <row r="2" spans="1:7" x14ac:dyDescent="0.3">
      <c r="A2" s="2" t="s">
        <v>0</v>
      </c>
      <c r="B2" s="2" t="s">
        <v>5</v>
      </c>
      <c r="C2" s="2" t="s">
        <v>4</v>
      </c>
      <c r="D2" s="2" t="s">
        <v>6</v>
      </c>
      <c r="E2" s="2" t="s">
        <v>5</v>
      </c>
      <c r="F2" s="2" t="s">
        <v>4</v>
      </c>
      <c r="G2" s="2" t="s">
        <v>6</v>
      </c>
    </row>
    <row r="3" spans="1:7" x14ac:dyDescent="0.3">
      <c r="A3" s="1" t="s">
        <v>1</v>
      </c>
      <c r="B3" s="1" t="e">
        <f>TMB!#REF!*0.55</f>
        <v>#REF!</v>
      </c>
      <c r="C3" s="1" t="e">
        <f>TMB!#REF!*0.15</f>
        <v>#REF!</v>
      </c>
      <c r="D3" s="1" t="e">
        <f>TMB!#REF!*0.3</f>
        <v>#REF!</v>
      </c>
      <c r="E3" s="1" t="e">
        <f>$B3/4</f>
        <v>#REF!</v>
      </c>
      <c r="F3" s="1" t="e">
        <f>$C3/4</f>
        <v>#REF!</v>
      </c>
      <c r="G3" s="1" t="e">
        <f>$D3/9</f>
        <v>#REF!</v>
      </c>
    </row>
    <row r="4" spans="1:7" x14ac:dyDescent="0.3">
      <c r="A4" s="1" t="s">
        <v>2</v>
      </c>
      <c r="B4" s="1" t="e">
        <f>TMB!#REF!*0.55</f>
        <v>#REF!</v>
      </c>
      <c r="C4" s="1" t="e">
        <f>TMB!#REF!*0.15</f>
        <v>#REF!</v>
      </c>
      <c r="D4" s="1" t="e">
        <f>TMB!#REF!*0.3</f>
        <v>#REF!</v>
      </c>
      <c r="E4" s="1" t="e">
        <f>$B4/4</f>
        <v>#REF!</v>
      </c>
      <c r="F4" s="1" t="e">
        <f>$C4/4</f>
        <v>#REF!</v>
      </c>
      <c r="G4" s="1" t="e">
        <f>$D4/9</f>
        <v>#REF!</v>
      </c>
    </row>
    <row r="5" spans="1:7" x14ac:dyDescent="0.3">
      <c r="A5" s="1" t="s">
        <v>9</v>
      </c>
      <c r="B5" s="1" t="e">
        <f>TMB!#REF!*0.55</f>
        <v>#REF!</v>
      </c>
      <c r="C5" s="1" t="e">
        <f>TMB!#REF!*0.15</f>
        <v>#REF!</v>
      </c>
      <c r="D5" s="1" t="e">
        <f>TMB!#REF!*0.3</f>
        <v>#REF!</v>
      </c>
      <c r="E5" s="1" t="e">
        <f>$B5/4</f>
        <v>#REF!</v>
      </c>
      <c r="F5" s="1" t="e">
        <f>$C5/4</f>
        <v>#REF!</v>
      </c>
      <c r="G5" s="1" t="e">
        <f>$D5/9</f>
        <v>#REF!</v>
      </c>
    </row>
  </sheetData>
  <mergeCells count="2">
    <mergeCell ref="B1:D1"/>
    <mergeCell ref="E1:G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TMB</vt:lpstr>
      <vt:lpstr>Nutrientes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Jupiraci Júnior</dc:creator>
  <cp:lastModifiedBy>Jupiraci Júnior</cp:lastModifiedBy>
  <dcterms:created xsi:type="dcterms:W3CDTF">2015-06-05T18:19:34Z</dcterms:created>
  <dcterms:modified xsi:type="dcterms:W3CDTF">2024-09-25T17:34:42Z</dcterms:modified>
</cp:coreProperties>
</file>